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D0256E7-A484-40A2-BECD-0F58F6300B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L24" i="1"/>
  <c r="L15" i="1"/>
  <c r="L13" i="1"/>
  <c r="L10" i="1"/>
  <c r="L8" i="1"/>
  <c r="L6" i="1"/>
</calcChain>
</file>

<file path=xl/sharedStrings.xml><?xml version="1.0" encoding="utf-8"?>
<sst xmlns="http://schemas.openxmlformats.org/spreadsheetml/2006/main" count="174" uniqueCount="125">
  <si>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</si>
  <si>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</si>
  <si>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</si>
  <si>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</si>
  <si>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</si>
  <si>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</si>
  <si>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</si>
  <si>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</si>
  <si>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</si>
  <si>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</si>
  <si>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</si>
  <si>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</si>
  <si>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</si>
  <si>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</si>
  <si>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</si>
  <si>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</si>
  <si>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</si>
  <si>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</si>
  <si>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</si>
  <si>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</si>
  <si>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</si>
  <si>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</si>
  <si>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</si>
  <si>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</si>
  <si>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</si>
  <si>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</si>
  <si>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</si>
  <si>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</si>
  <si>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</si>
  <si>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</si>
  <si>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</si>
  <si>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</si>
  <si>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</si>
  <si>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</si>
  <si>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</si>
  <si>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</si>
  <si>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</si>
  <si>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</si>
  <si>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</si>
  <si>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</si>
  <si>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</si>
  <si>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</si>
  <si>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</si>
  <si>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</si>
  <si>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</si>
  <si>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</si>
  <si>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</si>
  <si>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</si>
  <si>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</si>
  <si>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</si>
  <si>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</si>
  <si>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</si>
  <si>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</si>
  <si>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</si>
  <si>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</si>
  <si>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</si>
  <si>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</si>
  <si>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</si>
  <si>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</si>
  <si>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</si>
  <si>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</si>
  <si>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</si>
  <si>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</si>
  <si>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</si>
  <si>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</si>
  <si>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</si>
  <si>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</si>
  <si>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</si>
  <si>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</si>
  <si>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</si>
  <si>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</si>
  <si>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</si>
  <si>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</si>
  <si>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</si>
  <si>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</si>
  <si>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</si>
  <si>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</si>
  <si>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</si>
  <si>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</si>
  <si>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</si>
  <si>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</si>
  <si>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</si>
  <si>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</si>
  <si>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</si>
  <si>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</si>
  <si>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</si>
  <si>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</si>
  <si>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</si>
  <si>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</si>
  <si>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</si>
  <si>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</si>
  <si>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</si>
  <si>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</si>
  <si>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● Calculate the total price of all products in the dataset.</t>
  </si>
  <si>
    <t>Determine how many products exist in the dataset.</t>
  </si>
  <si>
    <t>● Calculate the average price of the products.</t>
  </si>
  <si>
    <t>● Identify the minimum price among all products.</t>
  </si>
  <si>
    <t>● Identify the maximum price among all products.</t>
  </si>
  <si>
    <t>○ If Price ≥ $500 → classify as High Price</t>
  </si>
  <si>
    <t>PRICE RANGE</t>
  </si>
  <si>
    <t>Use the SUMIF function to calculate the total price of products in the</t>
  </si>
  <si>
    <t>Electronics category.</t>
  </si>
  <si>
    <t>Use the COUNTIF function to determine the number of products with a price</t>
  </si>
  <si>
    <t>less than $100.</t>
  </si>
  <si>
    <t>○ Create a new column named Day with the first 2 characters of each</t>
  </si>
  <si>
    <t>'Product ID' using the LEFT function.</t>
  </si>
  <si>
    <t>● Use the IF function to categorize products based on their price:</t>
  </si>
  <si>
    <t>○ If Price &lt; $500 → classify as Standard Price</t>
  </si>
  <si>
    <t>DAY</t>
  </si>
  <si>
    <t>COUNTRYCODE</t>
  </si>
  <si>
    <t>○ Create a new column named Country Code by extracting the last 2</t>
  </si>
  <si>
    <t>characters from the 'Product ID' column using the RIGHT function.</t>
  </si>
  <si>
    <t>Create a new column named Month by extracting the 4th to 6th</t>
  </si>
  <si>
    <t>characters from the 'Product ID' column using the MID function.</t>
  </si>
  <si>
    <t>MONTH</t>
  </si>
  <si>
    <t>MID(B2,4,6)</t>
  </si>
  <si>
    <t>RIGHT(B2,2)</t>
  </si>
  <si>
    <t>LEFT(B2,2)</t>
  </si>
  <si>
    <t>SUM(H2:H35)</t>
  </si>
  <si>
    <t>COUNT(H2:H35)</t>
  </si>
  <si>
    <t>AVG(H2:H35)</t>
  </si>
  <si>
    <t>MIN(H2:H35)</t>
  </si>
  <si>
    <t>MAX(H2:H35)</t>
  </si>
  <si>
    <t>SUMIF(K2:K35,K2,</t>
  </si>
  <si>
    <t>,K2,H2:H35)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</si>
</sst>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000"/>
  <sheetViews>
    <sheetView tabSelected="1" workbookViewId="0">
      <selection sqref="A1:A1048576"/>
    </sheetView>
  </sheetViews>
  <sheetFormatPr defaultColWidth="12.5703125" defaultRowHeight="15" customHeight="1" x14ac:dyDescent="0.2"/>
  <cols>
    <col min="1" max="2" width="12.85546875" customWidth="1"/>
    <col min="3" max="4" width="12.7109375" customWidth="1"/>
    <col min="5" max="5" width="14.140625" customWidth="1"/>
  </cols>
  <sheetData>
    <row r="1" spans="1:13" ht="15.75" customHeight="1" x14ac:dyDescent="0.2">
      <c r="A1" s="1" t="s">
        <v>0</v>
      </c>
      <c r="B1" s="1" t="s">
        <v>114</v>
      </c>
      <c r="C1" s="1" t="s">
        <v>108</v>
      </c>
      <c r="D1" s="1" t="s">
        <v>109</v>
      </c>
      <c r="E1" s="1" t="s">
        <v>1</v>
      </c>
      <c r="F1" s="1" t="s">
        <v>2</v>
      </c>
      <c r="G1" s="1" t="s">
        <v>3</v>
      </c>
      <c r="H1" s="1" t="s">
        <v>99</v>
      </c>
      <c r="I1" s="1" t="s">
        <v>4</v>
      </c>
      <c r="J1" s="1" t="s">
        <v>5</v>
      </c>
      <c r="K1" s="2"/>
    </row>
    <row r="2" spans="1:13" ht="15.75" customHeight="1" x14ac:dyDescent="0.2">
      <c r="A2" s="3" t="s">
        <v>6</v>
      </c>
      <c r="B2" s="3" t="str">
        <f>MID(A2,4,6)</f>
        <v>JAN-US</v>
      </c>
      <c r="C2" s="3" t="str">
        <f>LEFT(A2,2)</f>
        <v>28</v>
      </c>
      <c r="D2" s="3" t="str">
        <f>RIGHT(A2,2)</f>
        <v>US</v>
      </c>
      <c r="E2" s="3" t="s">
        <v>7</v>
      </c>
      <c r="F2" s="3" t="s">
        <v>8</v>
      </c>
      <c r="G2" s="3">
        <v>1000</v>
      </c>
      <c r="H2" s="3" t="str">
        <f>IF(G2&gt;500,"high price","standard")</f>
        <v>high price</v>
      </c>
      <c r="I2" s="3">
        <v>30</v>
      </c>
      <c r="J2" s="3" t="s">
        <v>9</v>
      </c>
      <c r="K2" s="3"/>
    </row>
    <row r="3" spans="1:13" ht="15.75" customHeight="1" x14ac:dyDescent="0.2">
      <c r="A3" s="4" t="s">
        <v>10</v>
      </c>
      <c r="B3" s="3" t="str">
        <f>MID(A3,4,6)</f>
        <v>FEB-US</v>
      </c>
      <c r="C3" s="3" t="str">
        <f t="shared" ref="C3:C35" si="0">LEFT(A3,2)</f>
        <v>15</v>
      </c>
      <c r="D3" s="3" t="str">
        <f>RIGHT(A3,2)</f>
        <v>US</v>
      </c>
      <c r="E3" s="4" t="s">
        <v>11</v>
      </c>
      <c r="F3" s="4" t="s">
        <v>12</v>
      </c>
      <c r="G3" s="4">
        <v>80</v>
      </c>
      <c r="H3" s="3" t="str">
        <f>IF(G3&gt;500,"high price","standard")</f>
        <v>standard</v>
      </c>
      <c r="I3" s="4">
        <v>15</v>
      </c>
      <c r="J3" s="4" t="s">
        <v>13</v>
      </c>
      <c r="K3" s="3"/>
    </row>
    <row r="4" spans="1:13" ht="15.75" customHeight="1" x14ac:dyDescent="0.2">
      <c r="A4" s="3" t="s">
        <v>14</v>
      </c>
      <c r="B4" s="3" t="str">
        <f>MID(A4,4,6)</f>
        <v>MAR-US</v>
      </c>
      <c r="C4" s="3" t="str">
        <f t="shared" si="0"/>
        <v>03</v>
      </c>
      <c r="D4" s="3" t="str">
        <f>RIGHT(A4,2)</f>
        <v>US</v>
      </c>
      <c r="E4" s="3" t="s">
        <v>15</v>
      </c>
      <c r="F4" s="3" t="s">
        <v>16</v>
      </c>
      <c r="G4" s="3">
        <v>130</v>
      </c>
      <c r="H4" s="3" t="str">
        <f>IF(G4&gt;500,"high price","standard")</f>
        <v>standard</v>
      </c>
      <c r="I4" s="3">
        <v>40</v>
      </c>
      <c r="J4" s="3" t="s">
        <v>17</v>
      </c>
      <c r="K4" s="3"/>
      <c r="L4" t="s">
        <v>93</v>
      </c>
    </row>
    <row r="5" spans="1:13" ht="15.75" customHeight="1" x14ac:dyDescent="0.2">
      <c r="A5" s="4" t="s">
        <v>18</v>
      </c>
      <c r="B5" s="3" t="str">
        <f>MID(A5,4,6)</f>
        <v>APR-US</v>
      </c>
      <c r="C5" s="3" t="str">
        <f t="shared" si="0"/>
        <v>11</v>
      </c>
      <c r="D5" s="3" t="str">
        <f>RIGHT(A5,2)</f>
        <v>US</v>
      </c>
      <c r="E5" s="4" t="s">
        <v>19</v>
      </c>
      <c r="F5" s="4" t="s">
        <v>20</v>
      </c>
      <c r="G5" s="4">
        <v>900</v>
      </c>
      <c r="H5" s="3" t="str">
        <f>IF(G5&gt;500,"high price","standard")</f>
        <v>high price</v>
      </c>
      <c r="I5" s="4">
        <v>25</v>
      </c>
      <c r="J5" s="4" t="s">
        <v>9</v>
      </c>
      <c r="K5" s="3"/>
    </row>
    <row r="6" spans="1:13" ht="15.75" customHeight="1" x14ac:dyDescent="0.2">
      <c r="A6" s="3" t="s">
        <v>21</v>
      </c>
      <c r="B6" s="3" t="str">
        <f>MID(A6,4,6)</f>
        <v>MAY-US</v>
      </c>
      <c r="C6" s="3" t="str">
        <f t="shared" si="0"/>
        <v>22</v>
      </c>
      <c r="D6" s="3" t="str">
        <f>RIGHT(A6,2)</f>
        <v>US</v>
      </c>
      <c r="E6" s="3" t="s">
        <v>22</v>
      </c>
      <c r="F6" s="3" t="s">
        <v>23</v>
      </c>
      <c r="G6" s="3">
        <v>70</v>
      </c>
      <c r="H6" s="3" t="str">
        <f>IF(G6&gt;500,"high price","standard")</f>
        <v>standard</v>
      </c>
      <c r="I6" s="3">
        <v>20</v>
      </c>
      <c r="J6" s="3" t="s">
        <v>24</v>
      </c>
      <c r="K6" s="3"/>
      <c r="L6">
        <f>SUM(G2:G35)</f>
        <v>10100</v>
      </c>
      <c r="M6" t="s">
        <v>118</v>
      </c>
    </row>
    <row r="7" spans="1:13" ht="15.75" customHeight="1" x14ac:dyDescent="0.2">
      <c r="A7" s="4" t="s">
        <v>25</v>
      </c>
      <c r="B7" s="3" t="str">
        <f>MID(A7,4,6)</f>
        <v>JUN-UK</v>
      </c>
      <c r="C7" s="3" t="str">
        <f t="shared" si="0"/>
        <v>07</v>
      </c>
      <c r="D7" s="3" t="str">
        <f>RIGHT(A7,2)</f>
        <v>UK</v>
      </c>
      <c r="E7" s="4" t="s">
        <v>26</v>
      </c>
      <c r="F7" s="4" t="s">
        <v>27</v>
      </c>
      <c r="G7" s="4">
        <v>200</v>
      </c>
      <c r="H7" s="3" t="str">
        <f>IF(G7&gt;500,"high price","standard")</f>
        <v>standard</v>
      </c>
      <c r="I7" s="4">
        <v>45</v>
      </c>
      <c r="J7" s="4" t="s">
        <v>9</v>
      </c>
      <c r="K7" s="3"/>
      <c r="L7" t="s">
        <v>94</v>
      </c>
    </row>
    <row r="8" spans="1:13" ht="15.75" customHeight="1" x14ac:dyDescent="0.2">
      <c r="A8" s="3" t="s">
        <v>28</v>
      </c>
      <c r="B8" s="3" t="str">
        <f>MID(A8,4,6)</f>
        <v>JUL-UK</v>
      </c>
      <c r="C8" s="3" t="str">
        <f t="shared" si="0"/>
        <v>19</v>
      </c>
      <c r="D8" s="3" t="str">
        <f>RIGHT(A8,2)</f>
        <v>UK</v>
      </c>
      <c r="E8" s="3" t="s">
        <v>29</v>
      </c>
      <c r="F8" s="3" t="s">
        <v>30</v>
      </c>
      <c r="G8" s="3">
        <v>30</v>
      </c>
      <c r="H8" s="3" t="str">
        <f>IF(G8&gt;500,"high price","standard")</f>
        <v>standard</v>
      </c>
      <c r="I8" s="3">
        <v>5</v>
      </c>
      <c r="J8" s="3" t="s">
        <v>13</v>
      </c>
      <c r="K8" s="3"/>
      <c r="L8">
        <f>COUNT(G2:G35)</f>
        <v>34</v>
      </c>
      <c r="M8" t="s">
        <v>119</v>
      </c>
    </row>
    <row r="9" spans="1:13" ht="15.75" customHeight="1" x14ac:dyDescent="0.2">
      <c r="A9" s="4" t="s">
        <v>31</v>
      </c>
      <c r="B9" s="3" t="str">
        <f>MID(A9,4,6)</f>
        <v>AUG-UK</v>
      </c>
      <c r="C9" s="3" t="str">
        <f t="shared" si="0"/>
        <v>23</v>
      </c>
      <c r="D9" s="3" t="str">
        <f>RIGHT(A9,2)</f>
        <v>UK</v>
      </c>
      <c r="E9" s="4" t="s">
        <v>32</v>
      </c>
      <c r="F9" s="4" t="s">
        <v>33</v>
      </c>
      <c r="G9" s="4">
        <v>90</v>
      </c>
      <c r="H9" s="3" t="str">
        <f>IF(G9&gt;500,"high price","standard")</f>
        <v>standard</v>
      </c>
      <c r="I9" s="4">
        <v>35</v>
      </c>
      <c r="J9" s="4" t="s">
        <v>17</v>
      </c>
      <c r="K9" s="3"/>
      <c r="L9" t="s">
        <v>95</v>
      </c>
    </row>
    <row r="10" spans="1:13" ht="15.75" customHeight="1" x14ac:dyDescent="0.2">
      <c r="A10" s="3" t="s">
        <v>34</v>
      </c>
      <c r="B10" s="3" t="str">
        <f>MID(A10,4,6)</f>
        <v>SEP-UK</v>
      </c>
      <c r="C10" s="3" t="str">
        <f t="shared" si="0"/>
        <v>05</v>
      </c>
      <c r="D10" s="3" t="str">
        <f>RIGHT(A10,2)</f>
        <v>UK</v>
      </c>
      <c r="E10" s="3" t="s">
        <v>35</v>
      </c>
      <c r="F10" s="3" t="s">
        <v>36</v>
      </c>
      <c r="G10" s="3">
        <v>500</v>
      </c>
      <c r="H10" s="3" t="str">
        <f>IF(G10&gt;500,"high price","standard")</f>
        <v>standard</v>
      </c>
      <c r="I10" s="3">
        <v>50</v>
      </c>
      <c r="J10" s="3" t="s">
        <v>9</v>
      </c>
      <c r="K10" s="3"/>
      <c r="L10">
        <f>AVERAGE(G2:G35)</f>
        <v>297.05882352941177</v>
      </c>
    </row>
    <row r="11" spans="1:13" ht="15.75" customHeight="1" x14ac:dyDescent="0.2">
      <c r="A11" s="4" t="s">
        <v>37</v>
      </c>
      <c r="B11" s="3" t="str">
        <f>MID(A11,4,6)</f>
        <v>OCT-UK</v>
      </c>
      <c r="C11" s="3" t="str">
        <f t="shared" si="0"/>
        <v>14</v>
      </c>
      <c r="D11" s="3" t="str">
        <f>RIGHT(A11,2)</f>
        <v>UK</v>
      </c>
      <c r="E11" s="4" t="s">
        <v>38</v>
      </c>
      <c r="F11" s="4" t="s">
        <v>39</v>
      </c>
      <c r="G11" s="4">
        <v>130</v>
      </c>
      <c r="H11" s="3" t="str">
        <f>IF(G11&gt;500,"high price","standard")</f>
        <v>standard</v>
      </c>
      <c r="I11" s="4">
        <v>10</v>
      </c>
      <c r="J11" s="4" t="s">
        <v>24</v>
      </c>
      <c r="K11" s="3"/>
      <c r="M11" t="s">
        <v>120</v>
      </c>
    </row>
    <row r="12" spans="1:13" ht="15.75" customHeight="1" x14ac:dyDescent="0.2">
      <c r="A12" s="3" t="s">
        <v>40</v>
      </c>
      <c r="B12" s="3" t="str">
        <f>MID(A12,4,6)</f>
        <v>JUN-IN</v>
      </c>
      <c r="C12" s="3" t="str">
        <f t="shared" si="0"/>
        <v>17</v>
      </c>
      <c r="D12" s="3" t="str">
        <f>RIGHT(A12,2)</f>
        <v>IN</v>
      </c>
      <c r="E12" s="3" t="s">
        <v>7</v>
      </c>
      <c r="F12" s="3" t="s">
        <v>41</v>
      </c>
      <c r="G12" s="3">
        <v>950</v>
      </c>
      <c r="H12" s="3" t="str">
        <f>IF(G12&gt;500,"high price","standard")</f>
        <v>high price</v>
      </c>
      <c r="I12" s="3">
        <v>25</v>
      </c>
      <c r="J12" s="3" t="s">
        <v>9</v>
      </c>
      <c r="K12" s="3"/>
      <c r="L12" t="s">
        <v>96</v>
      </c>
    </row>
    <row r="13" spans="1:13" ht="15.75" customHeight="1" x14ac:dyDescent="0.2">
      <c r="A13" s="4" t="s">
        <v>42</v>
      </c>
      <c r="B13" s="3" t="str">
        <f>MID(A13,4,6)</f>
        <v>NOV-AU</v>
      </c>
      <c r="C13" s="3" t="str">
        <f t="shared" si="0"/>
        <v>25</v>
      </c>
      <c r="D13" s="3" t="str">
        <f>RIGHT(A13,2)</f>
        <v>AU</v>
      </c>
      <c r="E13" s="4" t="s">
        <v>11</v>
      </c>
      <c r="F13" s="4" t="s">
        <v>30</v>
      </c>
      <c r="G13" s="4">
        <v>90</v>
      </c>
      <c r="H13" s="3" t="str">
        <f>IF(G13&gt;500,"high price","standard")</f>
        <v>standard</v>
      </c>
      <c r="I13" s="4">
        <v>40</v>
      </c>
      <c r="J13" s="4" t="s">
        <v>13</v>
      </c>
      <c r="K13" s="3"/>
      <c r="L13">
        <f>MIN(G2:G35)</f>
        <v>30</v>
      </c>
      <c r="M13" t="s">
        <v>121</v>
      </c>
    </row>
    <row r="14" spans="1:13" ht="15.75" customHeight="1" x14ac:dyDescent="0.2">
      <c r="A14" s="3" t="s">
        <v>43</v>
      </c>
      <c r="B14" s="3" t="str">
        <f>MID(A14,4,6)</f>
        <v>DEC-DE</v>
      </c>
      <c r="C14" s="3" t="str">
        <f t="shared" si="0"/>
        <v>08</v>
      </c>
      <c r="D14" s="3" t="str">
        <f>RIGHT(A14,2)</f>
        <v>DE</v>
      </c>
      <c r="E14" s="3" t="s">
        <v>15</v>
      </c>
      <c r="F14" s="3" t="s">
        <v>44</v>
      </c>
      <c r="G14" s="3">
        <v>120</v>
      </c>
      <c r="H14" s="3" t="str">
        <f>IF(G14&gt;500,"high price","standard")</f>
        <v>standard</v>
      </c>
      <c r="I14" s="3">
        <v>35</v>
      </c>
      <c r="J14" s="3" t="s">
        <v>17</v>
      </c>
      <c r="K14" s="3"/>
      <c r="L14" t="s">
        <v>97</v>
      </c>
    </row>
    <row r="15" spans="1:13" ht="15.75" customHeight="1" x14ac:dyDescent="0.2">
      <c r="A15" s="4" t="s">
        <v>45</v>
      </c>
      <c r="B15" s="3" t="str">
        <f>MID(A15,4,6)</f>
        <v>FEB-CA</v>
      </c>
      <c r="C15" s="3" t="str">
        <f t="shared" si="0"/>
        <v>18</v>
      </c>
      <c r="D15" s="3" t="str">
        <f>RIGHT(A15,2)</f>
        <v>CA</v>
      </c>
      <c r="E15" s="4" t="s">
        <v>46</v>
      </c>
      <c r="F15" s="4" t="s">
        <v>47</v>
      </c>
      <c r="G15" s="4">
        <v>150</v>
      </c>
      <c r="H15" s="3" t="str">
        <f>IF(G15&gt;500,"high price","standard")</f>
        <v>standard</v>
      </c>
      <c r="I15" s="4">
        <v>15</v>
      </c>
      <c r="J15" s="4" t="s">
        <v>9</v>
      </c>
      <c r="K15" s="3"/>
      <c r="L15">
        <f>MAX(G2:G35)</f>
        <v>1000</v>
      </c>
    </row>
    <row r="16" spans="1:13" ht="15.75" customHeight="1" x14ac:dyDescent="0.2">
      <c r="A16" s="3" t="s">
        <v>48</v>
      </c>
      <c r="B16" s="3" t="str">
        <f>MID(A16,4,6)</f>
        <v>APR-ES</v>
      </c>
      <c r="C16" s="3" t="str">
        <f t="shared" si="0"/>
        <v>16</v>
      </c>
      <c r="D16" s="3" t="str">
        <f>RIGHT(A16,2)</f>
        <v>ES</v>
      </c>
      <c r="E16" s="3" t="s">
        <v>26</v>
      </c>
      <c r="F16" s="3" t="s">
        <v>49</v>
      </c>
      <c r="G16" s="3">
        <v>250</v>
      </c>
      <c r="H16" s="3" t="str">
        <f>IF(G16&gt;500,"high price","standard")</f>
        <v>standard</v>
      </c>
      <c r="I16" s="3">
        <v>20</v>
      </c>
      <c r="J16" s="3" t="s">
        <v>9</v>
      </c>
      <c r="K16" s="3"/>
      <c r="M16" t="s">
        <v>122</v>
      </c>
    </row>
    <row r="17" spans="1:14" ht="15.75" customHeight="1" x14ac:dyDescent="0.2">
      <c r="A17" s="4" t="s">
        <v>50</v>
      </c>
      <c r="B17" s="3" t="str">
        <f>MID(A17,4,6)</f>
        <v>AUG-CA</v>
      </c>
      <c r="C17" s="3" t="str">
        <f t="shared" si="0"/>
        <v>21</v>
      </c>
      <c r="D17" s="3" t="str">
        <f>RIGHT(A17,2)</f>
        <v>CA</v>
      </c>
      <c r="E17" s="4" t="s">
        <v>51</v>
      </c>
      <c r="F17" s="4" t="s">
        <v>52</v>
      </c>
      <c r="G17" s="4">
        <v>50</v>
      </c>
      <c r="H17" s="3" t="str">
        <f>IF(G17&gt;500,"high price","standard")</f>
        <v>standard</v>
      </c>
      <c r="I17" s="4">
        <v>35</v>
      </c>
      <c r="J17" s="4" t="s">
        <v>53</v>
      </c>
      <c r="K17" s="3"/>
      <c r="L17" s="6" t="s">
        <v>106</v>
      </c>
      <c r="M17" s="6"/>
      <c r="N17" s="6"/>
    </row>
    <row r="18" spans="1:14" ht="15.75" customHeight="1" x14ac:dyDescent="0.2">
      <c r="A18" s="3" t="s">
        <v>54</v>
      </c>
      <c r="B18" s="3" t="str">
        <f>MID(A18,4,6)</f>
        <v>AUG-CN</v>
      </c>
      <c r="C18" s="3" t="str">
        <f t="shared" si="0"/>
        <v>20</v>
      </c>
      <c r="D18" s="3" t="str">
        <f>RIGHT(A18,2)</f>
        <v>CN</v>
      </c>
      <c r="E18" s="3" t="s">
        <v>46</v>
      </c>
      <c r="F18" s="3" t="s">
        <v>55</v>
      </c>
      <c r="G18" s="3">
        <v>160</v>
      </c>
      <c r="H18" s="3" t="str">
        <f>IF(G18&gt;500,"high price","standard")</f>
        <v>standard</v>
      </c>
      <c r="I18" s="3">
        <v>15</v>
      </c>
      <c r="J18" s="3" t="s">
        <v>9</v>
      </c>
      <c r="K18" s="3"/>
      <c r="L18" t="s">
        <v>98</v>
      </c>
    </row>
    <row r="19" spans="1:14" ht="15.75" customHeight="1" x14ac:dyDescent="0.2">
      <c r="A19" s="4" t="s">
        <v>56</v>
      </c>
      <c r="B19" s="3" t="str">
        <f>MID(A19,4,6)</f>
        <v>JAN-IT</v>
      </c>
      <c r="C19" s="3" t="str">
        <f t="shared" si="0"/>
        <v>27</v>
      </c>
      <c r="D19" s="3" t="str">
        <f>RIGHT(A19,2)</f>
        <v>IT</v>
      </c>
      <c r="E19" s="4" t="s">
        <v>7</v>
      </c>
      <c r="F19" s="4" t="s">
        <v>57</v>
      </c>
      <c r="G19" s="4">
        <v>980</v>
      </c>
      <c r="H19" s="3" t="str">
        <f>IF(G19&gt;500,"high price","standard")</f>
        <v>high price</v>
      </c>
      <c r="I19" s="4">
        <v>10</v>
      </c>
      <c r="J19" s="4" t="s">
        <v>9</v>
      </c>
      <c r="K19" s="3"/>
      <c r="L19" t="s">
        <v>107</v>
      </c>
    </row>
    <row r="20" spans="1:14" ht="15.75" customHeight="1" x14ac:dyDescent="0.2">
      <c r="A20" s="3" t="s">
        <v>58</v>
      </c>
      <c r="B20" s="3" t="str">
        <f>MID(A20,4,6)</f>
        <v>MAR-UK</v>
      </c>
      <c r="C20" s="3" t="str">
        <f t="shared" si="0"/>
        <v>01</v>
      </c>
      <c r="D20" s="3" t="str">
        <f>RIGHT(A20,2)</f>
        <v>UK</v>
      </c>
      <c r="E20" s="3" t="s">
        <v>59</v>
      </c>
      <c r="F20" s="3" t="s">
        <v>60</v>
      </c>
      <c r="G20" s="3">
        <v>150</v>
      </c>
      <c r="H20" s="3" t="str">
        <f>IF(G20&gt;500,"high price","standard")</f>
        <v>standard</v>
      </c>
      <c r="I20" s="3">
        <v>15</v>
      </c>
      <c r="J20" s="3" t="s">
        <v>13</v>
      </c>
      <c r="K20" s="3"/>
    </row>
    <row r="21" spans="1:14" ht="15.75" customHeight="1" x14ac:dyDescent="0.2">
      <c r="A21" s="4" t="s">
        <v>61</v>
      </c>
      <c r="B21" s="3" t="str">
        <f>MID(A21,4,6)</f>
        <v>AUG-US</v>
      </c>
      <c r="C21" s="3" t="str">
        <f t="shared" si="0"/>
        <v>14</v>
      </c>
      <c r="D21" s="3" t="str">
        <f>RIGHT(A21,2)</f>
        <v>US</v>
      </c>
      <c r="E21" s="4" t="s">
        <v>62</v>
      </c>
      <c r="F21" s="4" t="s">
        <v>63</v>
      </c>
      <c r="G21" s="4">
        <v>200</v>
      </c>
      <c r="H21" s="3" t="str">
        <f>IF(G21&gt;500,"high price","standard")</f>
        <v>standard</v>
      </c>
      <c r="I21" s="4">
        <v>10</v>
      </c>
      <c r="J21" s="4" t="s">
        <v>24</v>
      </c>
      <c r="K21" s="3"/>
    </row>
    <row r="22" spans="1:14" ht="15.75" customHeight="1" x14ac:dyDescent="0.2">
      <c r="A22" s="3" t="s">
        <v>64</v>
      </c>
      <c r="B22" s="3" t="str">
        <f>MID(A22,4,6)</f>
        <v>MAY-RU</v>
      </c>
      <c r="C22" s="3" t="str">
        <f t="shared" si="0"/>
        <v>14</v>
      </c>
      <c r="D22" s="3" t="str">
        <f>RIGHT(A22,2)</f>
        <v>RU</v>
      </c>
      <c r="E22" s="3" t="s">
        <v>65</v>
      </c>
      <c r="F22" s="3" t="s">
        <v>66</v>
      </c>
      <c r="G22" s="3">
        <v>700</v>
      </c>
      <c r="H22" s="3" t="str">
        <f>IF(G22&gt;500,"high price","standard")</f>
        <v>high price</v>
      </c>
      <c r="I22" s="3">
        <v>50</v>
      </c>
      <c r="J22" s="3" t="s">
        <v>9</v>
      </c>
      <c r="K22" s="3"/>
      <c r="L22" t="s">
        <v>100</v>
      </c>
    </row>
    <row r="23" spans="1:14" ht="15.75" customHeight="1" x14ac:dyDescent="0.2">
      <c r="A23" s="4" t="s">
        <v>67</v>
      </c>
      <c r="B23" s="3" t="str">
        <f>MID(A23,4,6)</f>
        <v>JAN-CA</v>
      </c>
      <c r="C23" s="3" t="str">
        <f t="shared" si="0"/>
        <v>09</v>
      </c>
      <c r="D23" s="3" t="str">
        <f>RIGHT(A23,2)</f>
        <v>CA</v>
      </c>
      <c r="E23" s="4" t="s">
        <v>68</v>
      </c>
      <c r="F23" s="4" t="s">
        <v>69</v>
      </c>
      <c r="G23" s="4">
        <v>80</v>
      </c>
      <c r="H23" s="3" t="str">
        <f>IF(G23&gt;500,"high price","standard")</f>
        <v>standard</v>
      </c>
      <c r="I23" s="4">
        <v>20</v>
      </c>
      <c r="J23" s="4" t="s">
        <v>17</v>
      </c>
      <c r="K23" s="3"/>
      <c r="L23" t="s">
        <v>101</v>
      </c>
    </row>
    <row r="24" spans="1:14" ht="15.75" customHeight="1" x14ac:dyDescent="0.2">
      <c r="A24" s="3" t="s">
        <v>70</v>
      </c>
      <c r="B24" s="3" t="str">
        <f>MID(A24,4,6)</f>
        <v>JUL-BR</v>
      </c>
      <c r="C24" s="3" t="str">
        <f t="shared" si="0"/>
        <v>19</v>
      </c>
      <c r="D24" s="3" t="str">
        <f>RIGHT(A24,2)</f>
        <v>BR</v>
      </c>
      <c r="E24" s="3" t="s">
        <v>71</v>
      </c>
      <c r="F24" s="3" t="s">
        <v>72</v>
      </c>
      <c r="G24" s="3">
        <v>150</v>
      </c>
      <c r="H24" s="3" t="str">
        <f>IF(G24&gt;500,"high price","standard")</f>
        <v>standard</v>
      </c>
      <c r="I24" s="3">
        <v>30</v>
      </c>
      <c r="J24" s="3" t="s">
        <v>9</v>
      </c>
      <c r="K24" s="3"/>
      <c r="L24">
        <f>SUMIF(J2:J35,J2,G2:G35)</f>
        <v>8050</v>
      </c>
      <c r="M24" t="s">
        <v>123</v>
      </c>
      <c r="N24" t="s">
        <v>124</v>
      </c>
    </row>
    <row r="25" spans="1:14" ht="15.75" customHeight="1" x14ac:dyDescent="0.2">
      <c r="A25" s="4" t="s">
        <v>50</v>
      </c>
      <c r="B25" s="3" t="str">
        <f>MID(A25,4,6)</f>
        <v>AUG-CA</v>
      </c>
      <c r="C25" s="3" t="str">
        <f t="shared" si="0"/>
        <v>21</v>
      </c>
      <c r="D25" s="3" t="str">
        <f>RIGHT(A25,2)</f>
        <v>CA</v>
      </c>
      <c r="E25" s="4" t="s">
        <v>51</v>
      </c>
      <c r="F25" s="4" t="s">
        <v>52</v>
      </c>
      <c r="G25" s="4">
        <v>50</v>
      </c>
      <c r="H25" s="3" t="str">
        <f>IF(G25&gt;500,"high price","standard")</f>
        <v>standard</v>
      </c>
      <c r="I25" s="4">
        <v>35</v>
      </c>
      <c r="J25" s="4" t="s">
        <v>53</v>
      </c>
      <c r="K25" s="5"/>
    </row>
    <row r="26" spans="1:14" ht="15.75" customHeight="1" x14ac:dyDescent="0.2">
      <c r="A26" s="3" t="s">
        <v>73</v>
      </c>
      <c r="B26" s="3" t="str">
        <f>MID(A26,4,6)</f>
        <v>SEP-CA</v>
      </c>
      <c r="C26" s="3" t="str">
        <f t="shared" si="0"/>
        <v>29</v>
      </c>
      <c r="D26" s="3" t="str">
        <f>RIGHT(A26,2)</f>
        <v>CA</v>
      </c>
      <c r="E26" s="3" t="s">
        <v>19</v>
      </c>
      <c r="F26" s="3" t="s">
        <v>74</v>
      </c>
      <c r="G26" s="3">
        <v>800</v>
      </c>
      <c r="H26" s="3" t="str">
        <f>IF(G26&gt;500,"high price","standard")</f>
        <v>high price</v>
      </c>
      <c r="I26" s="3">
        <v>45</v>
      </c>
      <c r="J26" s="3" t="s">
        <v>9</v>
      </c>
      <c r="K26" s="3"/>
      <c r="L26" t="s">
        <v>102</v>
      </c>
    </row>
    <row r="27" spans="1:14" ht="15.75" customHeight="1" x14ac:dyDescent="0.2">
      <c r="A27" s="4" t="s">
        <v>75</v>
      </c>
      <c r="B27" s="3" t="str">
        <f>MID(A27,4,6)</f>
        <v>JUN-CA</v>
      </c>
      <c r="C27" s="3" t="str">
        <f t="shared" si="0"/>
        <v>03</v>
      </c>
      <c r="D27" s="3" t="str">
        <f>RIGHT(A27,2)</f>
        <v>CA</v>
      </c>
      <c r="E27" s="4" t="s">
        <v>59</v>
      </c>
      <c r="F27" s="4" t="s">
        <v>76</v>
      </c>
      <c r="G27" s="4">
        <v>130</v>
      </c>
      <c r="H27" s="3" t="str">
        <f>IF(G27&gt;500,"high price","standard")</f>
        <v>standard</v>
      </c>
      <c r="I27" s="4">
        <v>25</v>
      </c>
      <c r="J27" s="4" t="s">
        <v>13</v>
      </c>
      <c r="K27" s="3"/>
      <c r="L27" t="s">
        <v>103</v>
      </c>
    </row>
    <row r="28" spans="1:14" ht="15.75" customHeight="1" x14ac:dyDescent="0.2">
      <c r="A28" s="3" t="s">
        <v>77</v>
      </c>
      <c r="B28" s="3" t="str">
        <f>MID(A28,4,6)</f>
        <v>JUL-CA</v>
      </c>
      <c r="C28" s="3" t="str">
        <f t="shared" si="0"/>
        <v>11</v>
      </c>
      <c r="D28" s="3" t="str">
        <f>RIGHT(A28,2)</f>
        <v>CA</v>
      </c>
      <c r="E28" s="3" t="s">
        <v>32</v>
      </c>
      <c r="F28" s="3" t="s">
        <v>78</v>
      </c>
      <c r="G28" s="3">
        <v>400</v>
      </c>
      <c r="H28" s="3" t="str">
        <f>IF(G28&gt;500,"high price","standard")</f>
        <v>standard</v>
      </c>
      <c r="I28" s="3">
        <v>40</v>
      </c>
      <c r="J28" s="3" t="s">
        <v>17</v>
      </c>
      <c r="K28" s="3"/>
    </row>
    <row r="29" spans="1:14" ht="15.75" customHeight="1" x14ac:dyDescent="0.2">
      <c r="A29" s="4" t="s">
        <v>48</v>
      </c>
      <c r="B29" s="3" t="str">
        <f>MID(A29,4,6)</f>
        <v>APR-ES</v>
      </c>
      <c r="C29" s="3" t="str">
        <f t="shared" si="0"/>
        <v>16</v>
      </c>
      <c r="D29" s="3" t="str">
        <f>RIGHT(A29,2)</f>
        <v>ES</v>
      </c>
      <c r="E29" s="4" t="s">
        <v>26</v>
      </c>
      <c r="F29" s="4" t="s">
        <v>49</v>
      </c>
      <c r="G29" s="4">
        <v>230</v>
      </c>
      <c r="H29" s="3" t="str">
        <f>IF(G29&gt;500,"high price","standard")</f>
        <v>standard</v>
      </c>
      <c r="I29" s="4">
        <v>20</v>
      </c>
      <c r="J29" s="4" t="s">
        <v>9</v>
      </c>
      <c r="K29" s="5"/>
    </row>
    <row r="30" spans="1:14" ht="15.75" customHeight="1" x14ac:dyDescent="0.2">
      <c r="A30" s="3" t="s">
        <v>79</v>
      </c>
      <c r="B30" s="3" t="str">
        <f>MID(A30,4,6)</f>
        <v>MAR-CA</v>
      </c>
      <c r="C30" s="3" t="str">
        <f t="shared" si="0"/>
        <v>07</v>
      </c>
      <c r="D30" s="3" t="str">
        <f>RIGHT(A30,2)</f>
        <v>CA</v>
      </c>
      <c r="E30" s="3" t="s">
        <v>80</v>
      </c>
      <c r="F30" s="3" t="s">
        <v>81</v>
      </c>
      <c r="G30" s="3">
        <v>60</v>
      </c>
      <c r="H30" s="3" t="str">
        <f>IF(G30&gt;500,"high price","standard")</f>
        <v>standard</v>
      </c>
      <c r="I30" s="3">
        <v>30</v>
      </c>
      <c r="J30" s="3" t="s">
        <v>13</v>
      </c>
      <c r="K30" s="3"/>
    </row>
    <row r="31" spans="1:14" ht="15.75" customHeight="1" x14ac:dyDescent="0.2">
      <c r="A31" s="4" t="s">
        <v>82</v>
      </c>
      <c r="B31" s="3" t="str">
        <f>MID(A31,4,6)</f>
        <v>APR-CA</v>
      </c>
      <c r="C31" s="3" t="str">
        <f t="shared" si="0"/>
        <v>13</v>
      </c>
      <c r="D31" s="3" t="str">
        <f>RIGHT(A31,2)</f>
        <v>CA</v>
      </c>
      <c r="E31" s="4" t="s">
        <v>83</v>
      </c>
      <c r="F31" s="4" t="s">
        <v>84</v>
      </c>
      <c r="G31" s="4">
        <v>40</v>
      </c>
      <c r="H31" s="3" t="str">
        <f>IF(G31&gt;500,"high price","standard")</f>
        <v>standard</v>
      </c>
      <c r="I31" s="4">
        <v>10</v>
      </c>
      <c r="J31" s="4" t="s">
        <v>17</v>
      </c>
      <c r="K31" s="3"/>
      <c r="L31" t="s">
        <v>104</v>
      </c>
    </row>
    <row r="32" spans="1:14" ht="15.75" customHeight="1" x14ac:dyDescent="0.2">
      <c r="A32" s="3" t="s">
        <v>85</v>
      </c>
      <c r="B32" s="3" t="str">
        <f>MID(A32,4,6)</f>
        <v>MAY-CA</v>
      </c>
      <c r="C32" s="3" t="str">
        <f t="shared" si="0"/>
        <v>24</v>
      </c>
      <c r="D32" s="3" t="str">
        <f>RIGHT(A32,2)</f>
        <v>CA</v>
      </c>
      <c r="E32" s="3" t="s">
        <v>71</v>
      </c>
      <c r="F32" s="3" t="s">
        <v>86</v>
      </c>
      <c r="G32" s="3">
        <v>130</v>
      </c>
      <c r="H32" s="3" t="str">
        <f>IF(G32&gt;500,"high price","standard")</f>
        <v>standard</v>
      </c>
      <c r="I32" s="3">
        <v>5</v>
      </c>
      <c r="J32" s="3" t="s">
        <v>9</v>
      </c>
      <c r="K32" s="3"/>
      <c r="L32" t="s">
        <v>105</v>
      </c>
    </row>
    <row r="33" spans="1:14" ht="15.75" customHeight="1" x14ac:dyDescent="0.2">
      <c r="A33" s="4" t="s">
        <v>87</v>
      </c>
      <c r="B33" s="3" t="str">
        <f>MID(A33,4,6)</f>
        <v>DEC-CA</v>
      </c>
      <c r="C33" s="3" t="str">
        <f t="shared" si="0"/>
        <v>02</v>
      </c>
      <c r="D33" s="3" t="str">
        <f>RIGHT(A33,2)</f>
        <v>CA</v>
      </c>
      <c r="E33" s="4" t="s">
        <v>88</v>
      </c>
      <c r="F33" s="4" t="s">
        <v>89</v>
      </c>
      <c r="G33" s="4">
        <v>50</v>
      </c>
      <c r="H33" s="3" t="str">
        <f>IF(G33&gt;500,"high price","standard")</f>
        <v>standard</v>
      </c>
      <c r="I33" s="4">
        <v>50</v>
      </c>
      <c r="J33" s="4" t="s">
        <v>13</v>
      </c>
      <c r="K33" s="3"/>
      <c r="L33" t="s">
        <v>117</v>
      </c>
    </row>
    <row r="34" spans="1:14" ht="15.75" customHeight="1" x14ac:dyDescent="0.2">
      <c r="A34" s="3" t="s">
        <v>40</v>
      </c>
      <c r="B34" s="3" t="str">
        <f>MID(A34,4,6)</f>
        <v>JUN-IN</v>
      </c>
      <c r="C34" s="3" t="str">
        <f t="shared" si="0"/>
        <v>17</v>
      </c>
      <c r="D34" s="3" t="str">
        <f>RIGHT(A34,2)</f>
        <v>IN</v>
      </c>
      <c r="E34" s="3" t="s">
        <v>7</v>
      </c>
      <c r="F34" s="3" t="s">
        <v>41</v>
      </c>
      <c r="G34" s="3">
        <v>950</v>
      </c>
      <c r="H34" s="3" t="str">
        <f>IF(G34&gt;500,"high price","standard")</f>
        <v>high price</v>
      </c>
      <c r="I34" s="3">
        <v>25</v>
      </c>
      <c r="J34" s="3" t="s">
        <v>9</v>
      </c>
      <c r="K34" s="3"/>
      <c r="L34" s="7"/>
    </row>
    <row r="35" spans="1:14" ht="15.75" customHeight="1" x14ac:dyDescent="0.2">
      <c r="A35" s="4" t="s">
        <v>90</v>
      </c>
      <c r="B35" s="3" t="str">
        <f>MID(A35,4,6)</f>
        <v>JUL-FR</v>
      </c>
      <c r="C35" s="3" t="str">
        <f t="shared" si="0"/>
        <v>09</v>
      </c>
      <c r="D35" s="3" t="str">
        <f>RIGHT(A35,2)</f>
        <v>FR</v>
      </c>
      <c r="E35" s="4" t="s">
        <v>91</v>
      </c>
      <c r="F35" s="4" t="s">
        <v>92</v>
      </c>
      <c r="G35" s="4">
        <v>100</v>
      </c>
      <c r="H35" s="3" t="str">
        <f>IF(G35&gt;500,"high price","standard")</f>
        <v>standard</v>
      </c>
      <c r="I35" s="4">
        <v>20</v>
      </c>
      <c r="J35" s="4" t="s">
        <v>53</v>
      </c>
      <c r="K35" s="3"/>
      <c r="M35" t="s">
        <v>110</v>
      </c>
    </row>
    <row r="36" spans="1:14" ht="15.75" customHeight="1" x14ac:dyDescent="0.2">
      <c r="B36" s="3"/>
      <c r="D36" s="3"/>
      <c r="H36" s="3"/>
      <c r="M36" t="s">
        <v>111</v>
      </c>
    </row>
    <row r="37" spans="1:14" ht="15.75" customHeight="1" x14ac:dyDescent="0.2">
      <c r="B37" s="3"/>
      <c r="F37" t="s">
        <v>112</v>
      </c>
    </row>
    <row r="38" spans="1:14" ht="15.75" customHeight="1" x14ac:dyDescent="0.2">
      <c r="F38" t="s">
        <v>113</v>
      </c>
      <c r="N38" t="s">
        <v>116</v>
      </c>
    </row>
    <row r="39" spans="1:14" ht="15.75" customHeight="1" x14ac:dyDescent="0.2"/>
    <row r="40" spans="1:14" ht="15.75" customHeight="1" x14ac:dyDescent="0.2">
      <c r="F40" t="s">
        <v>115</v>
      </c>
    </row>
    <row r="41" spans="1:14" ht="15.75" customHeight="1" x14ac:dyDescent="0.2"/>
    <row r="42" spans="1:14" ht="15.75" customHeight="1" x14ac:dyDescent="0.2"/>
    <row r="43" spans="1:14" ht="15.75" customHeight="1" x14ac:dyDescent="0.2"/>
    <row r="44" spans="1:14" ht="15.75" customHeight="1" x14ac:dyDescent="0.2"/>
    <row r="45" spans="1:14" ht="15.75" customHeight="1" x14ac:dyDescent="0.2"/>
    <row r="46" spans="1:14" ht="15.75" customHeight="1" x14ac:dyDescent="0.2"/>
    <row r="47" spans="1:14" ht="15.75" customHeight="1" x14ac:dyDescent="0.2"/>
    <row r="48" spans="1:1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9" scale="4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2026-09-20T17:48:07Z</cp:lastPrinted>
  <dcterms:created xsi:type="dcterms:W3CDTF">2026-09-19T16:58:22Z</dcterms:created>
  <dcterms:modified xsi:type="dcterms:W3CDTF">2026-09-20T18:13:53Z</dcterms:modified>
</cp:coreProperties>
</file>